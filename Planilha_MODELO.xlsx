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usero/Documents/"/>
    </mc:Choice>
  </mc:AlternateContent>
  <xr:revisionPtr revIDLastSave="0" documentId="8_{5AC1DA80-F702-D84A-A8DF-4C69A2ECD406}" xr6:coauthVersionLast="47" xr6:coauthVersionMax="47" xr10:uidLastSave="{00000000-0000-0000-0000-000000000000}"/>
  <bookViews>
    <workbookView xWindow="0" yWindow="680" windowWidth="34560" windowHeight="19840" xr2:uid="{61A9BB10-65AD-B04F-A1E5-758475B57EA3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<sst xmlns="http://schemas.openxmlformats.org/spreadsheetml/2006/main" count="35" uniqueCount="35">
  <si>
    <t>STORE - RES ELDORADO</t>
  </si>
  <si>
    <t>SAS COMERCIO DE SECOS E MOLHADOS LTDA</t>
  </si>
  <si>
    <t>STORE - RES ELDORADO, Av NAPOLI, Nº 355, QD 05 LT AREA, RESIDENCIAL ELDORADO, GOIANIA, GO</t>
  </si>
  <si>
    <t>STORE - PERIMETRAL NORTE</t>
  </si>
  <si>
    <t>ISA COM E PROD DE SECOS E MOLHADOS LTDA</t>
  </si>
  <si>
    <t>STORE - PERIMETRAL NORTE, AV  PERIMETRAL NORTE, Nº 1226, QD 48 LT 18, CANDIDA DE MORAIS, GOIANIA, GO</t>
  </si>
  <si>
    <t>STORE - URIAS MAGALHAES</t>
  </si>
  <si>
    <t>IS COMERCIAL DE SECOS E MOLHADOS LTDA</t>
  </si>
  <si>
    <t>STORE - URIAS MAGALHAES, AV RIO BRANCO, Nº 779, QD 04 LT 15, URIAS MAGALHAES, GOIANIA, GO</t>
  </si>
  <si>
    <t>CASA DE CARNES BOM BIFE</t>
  </si>
  <si>
    <t>CELSON DE CARVALHO</t>
  </si>
  <si>
    <t>CASA DE CARNES BOM BIFE, AV PAULO ALVES, Nº 1112, 0, CENTRO , ANICUNS, GO</t>
  </si>
  <si>
    <t>CASA DE CARNE SOUZA</t>
  </si>
  <si>
    <t xml:space="preserve">IDERISMAR FERREIRA DE SOUZA E CIA LTDA </t>
  </si>
  <si>
    <t>CASA DE CARNE SOUZA, RUA 3, Nº 251, QD 22 LT 101, LESTE, ANICUNS, GO</t>
  </si>
  <si>
    <t>SUPER PRIME</t>
  </si>
  <si>
    <t>PRIME COM VAREJ DE PROD ALIM LTDA ME</t>
  </si>
  <si>
    <t>SUPER PRIME, AV  BANDEIRANTES, Nº 959, , CENTRO , ANICUNS, GO</t>
  </si>
  <si>
    <t>NOSSO SUPERMERCADO</t>
  </si>
  <si>
    <t>J CESAR SUPERMERCADO LTDA</t>
  </si>
  <si>
    <t>NOSSO SUPERMERCADO, Rua 1050, Nº 658, QD 11 LT 13, PEDRO LUDOVICO, GOIANIA, GO</t>
  </si>
  <si>
    <t>SUPERMERCADO LEVE</t>
  </si>
  <si>
    <t>LEVE ALIMENTOS LTDA</t>
  </si>
  <si>
    <t>SUPERMERCADO LEVE, AV ANHANGUERA, Nº 3261, 0, UNIVERSITARIO, GOIANIA, GO</t>
  </si>
  <si>
    <t>PARCEIRO</t>
  </si>
  <si>
    <t>FANTAZIA</t>
  </si>
  <si>
    <t>RAZÃO SOCIAL</t>
  </si>
  <si>
    <t>COMPLETO</t>
  </si>
  <si>
    <t>LAT LONG</t>
  </si>
  <si>
    <t>LAT</t>
  </si>
  <si>
    <t>LONG</t>
  </si>
  <si>
    <t>ID MODELO</t>
  </si>
  <si>
    <t>NOME MODELO</t>
  </si>
  <si>
    <t>RAZAO MODELO</t>
  </si>
  <si>
    <t>NOME MODELO, ENDEREÇO COMPLETO MODELO, QD MODELO, LT, MODELO, CIDADE MODELO, ESTADO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</si>
</sst>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ousero/Library/Containers/net.whatsapp.WhatsApp/Data/tmp/documents/E06E9744-4E7A-47E2-A32A-16AF49A41B0E/GEOCODIFICAR.xlsx" TargetMode="External"/><Relationship Id="rId1" Type="http://schemas.openxmlformats.org/officeDocument/2006/relationships/externalLinkPath" Target="/Users/gousero/Library/Containers/net.whatsapp.WhatsApp/Data/tmp/documents/E06E9744-4E7A-47E2-A32A-16AF49A41B0E/GEOCODIFI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GEOCODIFICAR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5922E-5389-F94B-BC68-46C8EEB92227}" name="Tabela1" displayName="Tabela1" ref="A1:G10" totalsRowShown="0" headerRowDxfId="13" dataDxfId="11" headerRowBorderDxfId="12" tableBorderDxfId="10" totalsRowBorderDxfId="9">
  <autoFilter ref="A1:G10" xr:uid="{0E85922E-5389-F94B-BC68-46C8EEB92227}"/>
  <tableColumns count="7">
    <tableColumn id="1" xr3:uid="{DDF1C91C-6679-7547-9E7E-D180F7649555}" name="PARCEIRO" dataDxfId="8"/>
    <tableColumn id="2" xr3:uid="{CF04B3FF-B899-AD44-8FC7-B3E3E768FFB3}" name="FANTAZIA" dataDxfId="7"/>
    <tableColumn id="3" xr3:uid="{30A0E69B-0D9F-1D45-98C1-4CF169C6DF25}" name="RAZÃO SOCIAL" dataDxfId="6"/>
    <tableColumn id="4" xr3:uid="{4C92085B-4F3C-2545-AE0F-8CCD645B8DFA}" name="COMPLETO" dataDxfId="5"/>
    <tableColumn id="5" xr3:uid="{08578C79-5CFD-7C48-BA09-04E01C50012F}" name="LAT LONG" dataDxfId="4"/>
    <tableColumn id="6" xr3:uid="{1502FCA3-1C3C-694B-9508-7EB7AA609239}" name="LAT" dataDxfId="3">
      <calculatedColumnFormula>IFERROR(LEFT([1]!Tabela1[[#This Row],[LAT LONG]],LEN([1]!Tabela1[[#This Row],[LAT LONG]])-FIND(",",[1]!Tabela1[[#This Row],[LAT LONG]])),"")</calculatedColumnFormula>
    </tableColumn>
    <tableColumn id="7" xr3:uid="{0315B03E-886F-8F4B-AA73-AC0ADDEDBC9D}" name="LONG" dataDxfId="2">
      <calculatedColumnFormula>IFERROR(RIGHT([1]!Tabela1[[#This Row],[LAT LONG]],LEN([1]!Tabela1[[#This Row],[LAT LONG]])-FIND(",",[1]!Tabela1[[#This Row],[LAT LONG]])),"")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1970-8B2C-8748-BBA7-02D0E0E7CF6B}">
  <dimension ref="A1:I10"/>
  <sheetViews>
    <sheetView tabSelected="1" workbookViewId="0">
      <selection activeCell="C14" sqref="C14"/>
    </sheetView>
  </sheetViews>
  <sheetFormatPr baseColWidth="10" defaultRowHeight="16" x14ac:dyDescent="0.2"/>
  <cols>
    <col min="1" max="1" width="11.33203125" customWidth="1"/>
    <col min="2" max="2" width="41.33203125" bestFit="1" customWidth="1"/>
    <col min="3" max="3" width="40.6640625" bestFit="1" customWidth="1"/>
    <col min="4" max="4" width="122.1640625" bestFit="1" customWidth="1"/>
    <col min="5" max="5" width="22.83203125" bestFit="1" customWidth="1"/>
    <col min="6" max="7" width="11.83203125" bestFit="1" customWidth="1"/>
    <col min="8" max="8" width="11.1640625" bestFit="1" customWidth="1"/>
    <col min="9" max="9" width="11.33203125" customWidth="1"/>
  </cols>
  <sheetData>
    <row r="1" spans="1:9" x14ac:dyDescent="0.2">
      <c r="A1" s="3" t="s">
        <v>24</v>
      </c>
      <c r="B1" s="3" t="s">
        <v>25</v>
      </c>
      <c r="C1" s="3" t="s">
        <v>26</v>
      </c>
      <c r="D1" s="3" t="s">
        <v>27</v>
      </c>
      <c r="E1" s="4" t="s">
        <v>28</v>
      </c>
      <c r="F1" s="6" t="s">
        <v>29</v>
      </c>
      <c r="G1" s="7" t="s">
        <v>30</v>
      </c>
      <c r="H1" s="5"/>
      <c r="I1" s="5"/>
    </row>
    <row r="2" spans="1:9" x14ac:dyDescent="0.2">
      <c r="A2" s="1" t="s">
        <v>31</v>
      </c>
      <c r="B2" s="1" t="s">
        <v>32</v>
      </c>
      <c r="C2" s="1" t="s">
        <v>33</v>
      </c>
      <c r="D2" s="1" t="s">
        <v>34</v>
      </c>
      <c r="E2" s="2"/>
      <c r="F2" s="2" t="str">
        <f>IFERROR(LEFT([1]!Tabela1[[#This Row],[LAT LONG]],LEN([1]!Tabela1[[#This Row],[LAT LONG]])-FIND(",",[1]!Tabela1[[#This Row],[LAT LONG]])),"")</f>
        <v/>
      </c>
      <c r="G2" s="8" t="str">
        <f>IFERROR(RIGHT([1]!Tabela1[[#This Row],[LAT LONG]],LEN([1]!Tabela1[[#This Row],[LAT LONG]])-FIND(",",[1]!Tabela1[[#This Row],[LAT LONG]])),"")</f>
        <v/>
      </c>
    </row>
    <row r="3" spans="1:9" x14ac:dyDescent="0.2">
      <c r="A3" s="1">
        <v>34</v>
      </c>
      <c r="B3" s="1" t="s">
        <v>0</v>
      </c>
      <c r="C3" s="1" t="s">
        <v>1</v>
      </c>
      <c r="D3" s="1" t="s">
        <v>2</v>
      </c>
      <c r="E3" s="2"/>
      <c r="F3" s="2" t="str">
        <f>IFERROR(LEFT([1]!Tabela1[[#This Row],[LAT LONG]],LEN([1]!Tabela1[[#This Row],[LAT LONG]])-FIND(",",[1]!Tabela1[[#This Row],[LAT LONG]])),"")</f>
        <v/>
      </c>
      <c r="G3" s="8" t="str">
        <f>IFERROR(RIGHT([1]!Tabela1[[#This Row],[LAT LONG]],LEN([1]!Tabela1[[#This Row],[LAT LONG]])-FIND(",",[1]!Tabela1[[#This Row],[LAT LONG]])),"")</f>
        <v/>
      </c>
    </row>
    <row r="4" spans="1:9" x14ac:dyDescent="0.2">
      <c r="A4" s="1">
        <v>38</v>
      </c>
      <c r="B4" s="1" t="s">
        <v>3</v>
      </c>
      <c r="C4" s="1" t="s">
        <v>4</v>
      </c>
      <c r="D4" s="1" t="s">
        <v>5</v>
      </c>
      <c r="E4" s="2"/>
      <c r="F4" s="2" t="str">
        <f>IFERROR(LEFT([1]!Tabela1[[#This Row],[LAT LONG]],LEN([1]!Tabela1[[#This Row],[LAT LONG]])-FIND(",",[1]!Tabela1[[#This Row],[LAT LONG]])),"")</f>
        <v/>
      </c>
      <c r="G4" s="8" t="str">
        <f>IFERROR(RIGHT([1]!Tabela1[[#This Row],[LAT LONG]],LEN([1]!Tabela1[[#This Row],[LAT LONG]])-FIND(",",[1]!Tabela1[[#This Row],[LAT LONG]])),"")</f>
        <v/>
      </c>
    </row>
    <row r="5" spans="1:9" x14ac:dyDescent="0.2">
      <c r="A5" s="1">
        <v>39</v>
      </c>
      <c r="B5" s="1" t="s">
        <v>6</v>
      </c>
      <c r="C5" s="1" t="s">
        <v>7</v>
      </c>
      <c r="D5" s="1" t="s">
        <v>8</v>
      </c>
      <c r="E5" s="2"/>
      <c r="F5" s="2" t="str">
        <f>IFERROR(LEFT([1]!Tabela1[[#This Row],[LAT LONG]],LEN([1]!Tabela1[[#This Row],[LAT LONG]])-FIND(",",[1]!Tabela1[[#This Row],[LAT LONG]])),"")</f>
        <v/>
      </c>
      <c r="G5" s="8" t="str">
        <f>IFERROR(RIGHT([1]!Tabela1[[#This Row],[LAT LONG]],LEN([1]!Tabela1[[#This Row],[LAT LONG]])-FIND(",",[1]!Tabela1[[#This Row],[LAT LONG]])),"")</f>
        <v/>
      </c>
    </row>
    <row r="6" spans="1:9" x14ac:dyDescent="0.2">
      <c r="A6" s="1">
        <v>48</v>
      </c>
      <c r="B6" s="1" t="s">
        <v>9</v>
      </c>
      <c r="C6" s="1" t="s">
        <v>10</v>
      </c>
      <c r="D6" s="1" t="s">
        <v>11</v>
      </c>
      <c r="E6" s="2"/>
      <c r="F6" s="2" t="str">
        <f>IFERROR(LEFT([1]!Tabela1[[#This Row],[LAT LONG]],LEN([1]!Tabela1[[#This Row],[LAT LONG]])-FIND(",",[1]!Tabela1[[#This Row],[LAT LONG]])),"")</f>
        <v/>
      </c>
      <c r="G6" s="8" t="str">
        <f>IFERROR(RIGHT([1]!Tabela1[[#This Row],[LAT LONG]],LEN([1]!Tabela1[[#This Row],[LAT LONG]])-FIND(",",[1]!Tabela1[[#This Row],[LAT LONG]])),"")</f>
        <v/>
      </c>
    </row>
    <row r="7" spans="1:9" x14ac:dyDescent="0.2">
      <c r="A7" s="1">
        <v>55</v>
      </c>
      <c r="B7" s="1" t="s">
        <v>12</v>
      </c>
      <c r="C7" s="1" t="s">
        <v>13</v>
      </c>
      <c r="D7" s="1" t="s">
        <v>14</v>
      </c>
      <c r="E7" s="2"/>
      <c r="F7" s="2" t="str">
        <f>IFERROR(LEFT([1]!Tabela1[[#This Row],[LAT LONG]],LEN([1]!Tabela1[[#This Row],[LAT LONG]])-FIND(",",[1]!Tabela1[[#This Row],[LAT LONG]])),"")</f>
        <v/>
      </c>
      <c r="G7" s="8" t="str">
        <f>IFERROR(RIGHT([1]!Tabela1[[#This Row],[LAT LONG]],LEN([1]!Tabela1[[#This Row],[LAT LONG]])-FIND(",",[1]!Tabela1[[#This Row],[LAT LONG]])),"")</f>
        <v/>
      </c>
    </row>
    <row r="8" spans="1:9" x14ac:dyDescent="0.2">
      <c r="A8" s="1">
        <v>57</v>
      </c>
      <c r="B8" s="1" t="s">
        <v>15</v>
      </c>
      <c r="C8" s="1" t="s">
        <v>16</v>
      </c>
      <c r="D8" s="1" t="s">
        <v>17</v>
      </c>
      <c r="E8" s="2"/>
      <c r="F8" s="2" t="str">
        <f>IFERROR(LEFT([1]!Tabela1[[#This Row],[LAT LONG]],LEN([1]!Tabela1[[#This Row],[LAT LONG]])-FIND(",",[1]!Tabela1[[#This Row],[LAT LONG]])),"")</f>
        <v/>
      </c>
      <c r="G8" s="8" t="str">
        <f>IFERROR(RIGHT([1]!Tabela1[[#This Row],[LAT LONG]],LEN([1]!Tabela1[[#This Row],[LAT LONG]])-FIND(",",[1]!Tabela1[[#This Row],[LAT LONG]])),"")</f>
        <v/>
      </c>
    </row>
    <row r="9" spans="1:9" x14ac:dyDescent="0.2">
      <c r="A9" s="1">
        <v>69</v>
      </c>
      <c r="B9" s="1" t="s">
        <v>18</v>
      </c>
      <c r="C9" s="1" t="s">
        <v>19</v>
      </c>
      <c r="D9" s="1" t="s">
        <v>20</v>
      </c>
      <c r="E9" s="2"/>
      <c r="F9" s="2" t="str">
        <f>IFERROR(LEFT([1]!Tabela1[[#This Row],[LAT LONG]],LEN([1]!Tabela1[[#This Row],[LAT LONG]])-FIND(",",[1]!Tabela1[[#This Row],[LAT LONG]])),"")</f>
        <v/>
      </c>
      <c r="G9" s="8" t="str">
        <f>IFERROR(RIGHT([1]!Tabela1[[#This Row],[LAT LONG]],LEN([1]!Tabela1[[#This Row],[LAT LONG]])-FIND(",",[1]!Tabela1[[#This Row],[LAT LONG]])),"")</f>
        <v/>
      </c>
    </row>
    <row r="10" spans="1:9" x14ac:dyDescent="0.2">
      <c r="A10" s="1">
        <v>70</v>
      </c>
      <c r="B10" s="1" t="s">
        <v>21</v>
      </c>
      <c r="C10" s="1" t="s">
        <v>22</v>
      </c>
      <c r="D10" s="1" t="s">
        <v>23</v>
      </c>
      <c r="E10" s="2"/>
      <c r="F10" s="2" t="str">
        <f>IFERROR(LEFT([1]!Tabela1[[#This Row],[LAT LONG]],LEN([1]!Tabela1[[#This Row],[LAT LONG]])-FIND(",",[1]!Tabela1[[#This Row],[LAT LONG]])),"")</f>
        <v/>
      </c>
      <c r="G10" s="8" t="str">
        <f>IFERROR(RIGHT([1]!Tabela1[[#This Row],[LAT LONG]],LEN([1]!Tabela1[[#This Row],[LAT LONG]])-FIND(",",[1]!Tabela1[[#This Row],[LAT LONG]])),"")</f>
        <v/>
      </c>
    </row>
  </sheetData>
  <conditionalFormatting sqref="E1">
    <cfRule type="duplicateValues" dxfId="1" priority="1"/>
  </conditionalFormatting>
  <conditionalFormatting sqref="E2:E10">
    <cfRule type="duplicateValues" dxfId="0" priority="3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Nunes</dc:creator>
  <cp:lastModifiedBy>Marcos Nunes</cp:lastModifiedBy>
  <dcterms:created xsi:type="dcterms:W3CDTF">2025-12-09T14:20:28Z</dcterms:created>
  <dcterms:modified xsi:type="dcterms:W3CDTF">2025-12-15T12:47:20Z</dcterms:modified>
</cp:coreProperties>
</file>